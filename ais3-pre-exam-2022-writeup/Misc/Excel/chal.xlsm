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5"/>
  <workbookPr/>
  <mc:AlternateContent xmlns:mc="http://schemas.openxmlformats.org/markup-compatibility/2006">
    <mc:Choice Requires="x15">
      <x15ac:absPath xmlns:x15ac="http://schemas.microsoft.com/office/spreadsheetml/2010/11/ac" url="D:\CyberSecurity\ctf\ais3premf2022\excel\"/>
    </mc:Choice>
  </mc:AlternateContent>
  <xr:revisionPtr revIDLastSave="0" documentId="13_ncr:1_{0B2F223E-2828-466D-B09E-61721A01C1E0}" xr6:coauthVersionLast="36" xr6:coauthVersionMax="36" xr10:uidLastSave="{00000000-0000-0000-0000-000000000000}"/>
  <bookViews>
    <workbookView xWindow="0" yWindow="0" windowWidth="28800" windowHeight="12180" xr2:uid="{00000000-000D-0000-FFFF-FFFF00000000}"/>
  </bookViews>
  <sheets>
    <sheet name="Sheet" sheetId="1" r:id="rId1"/>
    <sheet name="isFki" sheetId="7" state="hidden" r:id="rId2"/>
    <sheet name="JVHco" sheetId="2" state="hidden" r:id="rId3"/>
    <sheet name="coCGA" sheetId="3" state="hidden" r:id="rId4"/>
    <sheet name="mqLen" sheetId="4" state="hidden" r:id="rId5"/>
    <sheet name="Mment" sheetId="5" state="hidden" r:id="rId6"/>
    <sheet name="KRnsl" sheetId="6" state="hidden" r:id="rId7"/>
  </sheets>
  <definedNames>
    <definedName name="_xlnm.Auto_Open" xlm="1" functionGroupId="14">isFki!$A$58</definedName>
  </definedNames>
  <calcPr calcId="191029"/>
</workbook>
</file>

<file path=xl/calcChain.xml><?xml version="1.0" encoding="utf-8"?>
<calcChain xmlns="http://schemas.openxmlformats.org/spreadsheetml/2006/main">
  <c r="L24" i="6" l="1"/>
  <c r="E20" i="6"/>
  <c r="Q26" i="6" s="1"/>
  <c r="L19" i="6"/>
  <c r="F18" i="6"/>
  <c r="E17" i="6"/>
  <c r="D17" i="6"/>
  <c r="BA16" i="6"/>
  <c r="I21" i="6" s="1"/>
  <c r="M17" i="3" s="1"/>
  <c r="L15" i="4" s="1"/>
  <c r="Z16" i="6"/>
  <c r="Y16" i="6"/>
  <c r="H16" i="6"/>
  <c r="J15" i="6"/>
  <c r="O4" i="3" s="1"/>
  <c r="G7" i="3" s="1"/>
  <c r="S13" i="6"/>
  <c r="M12" i="6"/>
  <c r="V9" i="6"/>
  <c r="Q6" i="6"/>
  <c r="Q5" i="6"/>
  <c r="BA24" i="6" s="1"/>
  <c r="U17" i="3" s="1"/>
  <c r="J9" i="5" s="1"/>
  <c r="N5" i="6"/>
  <c r="I5" i="6"/>
  <c r="Q4" i="6"/>
  <c r="Q3" i="6"/>
  <c r="G15" i="6" s="1"/>
  <c r="BA26" i="4" s="1"/>
  <c r="N26" i="3" s="1"/>
  <c r="M3" i="6"/>
  <c r="E3" i="6"/>
  <c r="Z2" i="6"/>
  <c r="G2" i="6"/>
  <c r="T25" i="5"/>
  <c r="E25" i="5"/>
  <c r="O22" i="5"/>
  <c r="E22" i="5"/>
  <c r="O7" i="5" s="1"/>
  <c r="M14" i="5" s="1"/>
  <c r="N3" i="3" s="1"/>
  <c r="X21" i="5"/>
  <c r="S21" i="5"/>
  <c r="O21" i="5"/>
  <c r="I21" i="5"/>
  <c r="Y20" i="5"/>
  <c r="U20" i="5"/>
  <c r="Y19" i="5"/>
  <c r="X19" i="5"/>
  <c r="K19" i="5"/>
  <c r="I19" i="5"/>
  <c r="Y9" i="6" s="1"/>
  <c r="F24" i="6" s="1"/>
  <c r="C14" i="3" s="1"/>
  <c r="H19" i="5"/>
  <c r="P17" i="4" s="1"/>
  <c r="E19" i="5"/>
  <c r="I18" i="5"/>
  <c r="Y16" i="5"/>
  <c r="D16" i="5"/>
  <c r="N15" i="5"/>
  <c r="Y1" i="3" s="1"/>
  <c r="J15" i="5"/>
  <c r="Y13" i="5"/>
  <c r="Q17" i="6" s="1"/>
  <c r="Y12" i="5"/>
  <c r="U12" i="5"/>
  <c r="F12" i="5"/>
  <c r="D12" i="5"/>
  <c r="E11" i="5"/>
  <c r="BA10" i="5"/>
  <c r="U10" i="5"/>
  <c r="P10" i="5"/>
  <c r="B10" i="5"/>
  <c r="W9" i="5"/>
  <c r="B8" i="5"/>
  <c r="P5" i="5"/>
  <c r="N1" i="5" s="1"/>
  <c r="F3" i="5"/>
  <c r="V2" i="5"/>
  <c r="L4" i="6" s="1"/>
  <c r="F14" i="6" s="1"/>
  <c r="O2" i="5"/>
  <c r="C2" i="5"/>
  <c r="T23" i="5" s="1"/>
  <c r="F16" i="2" s="1"/>
  <c r="R26" i="4"/>
  <c r="R12" i="6" s="1"/>
  <c r="P13" i="4" s="1"/>
  <c r="D26" i="4"/>
  <c r="U10" i="6" s="1"/>
  <c r="Z19" i="6" s="1"/>
  <c r="V25" i="4"/>
  <c r="Q22" i="4"/>
  <c r="C23" i="4" s="1"/>
  <c r="S1" i="3" s="1"/>
  <c r="H22" i="6" s="1"/>
  <c r="BA20" i="4"/>
  <c r="G17" i="6" s="1"/>
  <c r="V12" i="6" s="1"/>
  <c r="R20" i="4"/>
  <c r="X6" i="6" s="1"/>
  <c r="K19" i="4"/>
  <c r="H19" i="4"/>
  <c r="C18" i="4"/>
  <c r="BA14" i="4"/>
  <c r="C12" i="4"/>
  <c r="P11" i="4"/>
  <c r="P25" i="5" s="1"/>
  <c r="U10" i="4"/>
  <c r="B10" i="4"/>
  <c r="N16" i="6" s="1"/>
  <c r="K14" i="3" s="1"/>
  <c r="U13" i="6" s="1"/>
  <c r="F9" i="4"/>
  <c r="BA21" i="5" s="1"/>
  <c r="F20" i="2" s="1"/>
  <c r="D11" i="3" s="1"/>
  <c r="Z8" i="4"/>
  <c r="V7" i="4"/>
  <c r="K10" i="4" s="1"/>
  <c r="U7" i="4"/>
  <c r="P7" i="4"/>
  <c r="H9" i="6" s="1"/>
  <c r="K12" i="3" s="1"/>
  <c r="Z6" i="4"/>
  <c r="Y4" i="4"/>
  <c r="X17" i="4" s="1"/>
  <c r="N21" i="4" s="1"/>
  <c r="R4" i="4"/>
  <c r="C15" i="6" s="1"/>
  <c r="Z17" i="5" s="1"/>
  <c r="N21" i="3" s="1"/>
  <c r="E4" i="4"/>
  <c r="X2" i="4"/>
  <c r="S2" i="4"/>
  <c r="K25" i="5" s="1"/>
  <c r="G26" i="3" s="1"/>
  <c r="M1" i="4"/>
  <c r="I1" i="4"/>
  <c r="J19" i="5" s="1"/>
  <c r="V1" i="2" s="1"/>
  <c r="U26" i="3"/>
  <c r="C26" i="3"/>
  <c r="F16" i="6" s="1"/>
  <c r="L15" i="3" s="1"/>
  <c r="Y25" i="3"/>
  <c r="Y23" i="3" s="1"/>
  <c r="S12" i="6" s="1"/>
  <c r="U25" i="3"/>
  <c r="W1" i="5" s="1"/>
  <c r="W24" i="3"/>
  <c r="L24" i="3"/>
  <c r="I7" i="5" s="1"/>
  <c r="H24" i="3"/>
  <c r="BA11" i="6" s="1"/>
  <c r="V23" i="3"/>
  <c r="H23" i="3"/>
  <c r="N8" i="3" s="1"/>
  <c r="N16" i="4" s="1"/>
  <c r="K10" i="2" s="1"/>
  <c r="F23" i="3"/>
  <c r="N22" i="3"/>
  <c r="Z21" i="4" s="1"/>
  <c r="BA16" i="4" s="1"/>
  <c r="X1" i="5" s="1"/>
  <c r="H22" i="3"/>
  <c r="M4" i="5" s="1"/>
  <c r="I21" i="3"/>
  <c r="W26" i="3" s="1"/>
  <c r="X2" i="3" s="1"/>
  <c r="H21" i="3"/>
  <c r="Z21" i="3" s="1"/>
  <c r="J20" i="3"/>
  <c r="I19" i="3"/>
  <c r="Z14" i="5" s="1"/>
  <c r="W2" i="3" s="1"/>
  <c r="I17" i="6" s="1"/>
  <c r="C19" i="3"/>
  <c r="N18" i="3"/>
  <c r="G18" i="3"/>
  <c r="C18" i="3"/>
  <c r="N6" i="3" s="1"/>
  <c r="D5" i="3" s="1"/>
  <c r="W17" i="3"/>
  <c r="J4" i="6" s="1"/>
  <c r="W16" i="3"/>
  <c r="I26" i="6" s="1"/>
  <c r="D15" i="3"/>
  <c r="N14" i="3"/>
  <c r="X12" i="3"/>
  <c r="U12" i="3"/>
  <c r="T12" i="3"/>
  <c r="BA12" i="3" s="1"/>
  <c r="H13" i="5" s="1"/>
  <c r="B10" i="2" s="1"/>
  <c r="W10" i="3"/>
  <c r="Z9" i="3"/>
  <c r="F7" i="3"/>
  <c r="K8" i="5" s="1"/>
  <c r="X17" i="3" s="1"/>
  <c r="W4" i="3"/>
  <c r="T4" i="3"/>
  <c r="P3" i="3"/>
  <c r="H3" i="3"/>
  <c r="J2" i="3"/>
  <c r="R1" i="3"/>
  <c r="O1" i="3"/>
  <c r="B10" i="6" s="1"/>
  <c r="O6" i="6" s="1"/>
  <c r="D16" i="2" s="1"/>
  <c r="K1" i="3"/>
  <c r="G13" i="3" s="1"/>
  <c r="E26" i="2"/>
  <c r="H7" i="2" s="1"/>
  <c r="R11" i="4" s="1"/>
  <c r="R25" i="2"/>
  <c r="Q25" i="4" s="1"/>
  <c r="E24" i="3" s="1"/>
  <c r="BA4" i="4" s="1"/>
  <c r="J25" i="2"/>
  <c r="Q24" i="2"/>
  <c r="J24" i="2"/>
  <c r="S17" i="3" s="1"/>
  <c r="C24" i="2"/>
  <c r="B24" i="2"/>
  <c r="D19" i="6" s="1"/>
  <c r="N23" i="2"/>
  <c r="L22" i="2"/>
  <c r="V21" i="2"/>
  <c r="Q19" i="3" s="1"/>
  <c r="R19" i="2"/>
  <c r="S9" i="6" s="1"/>
  <c r="W17" i="2" s="1"/>
  <c r="Z18" i="2"/>
  <c r="V19" i="6" s="1"/>
  <c r="T5" i="6" s="1"/>
  <c r="Q18" i="2"/>
  <c r="J16" i="5" s="1"/>
  <c r="BA11" i="5" s="1"/>
  <c r="F18" i="2"/>
  <c r="S2" i="5" s="1"/>
  <c r="BA17" i="2"/>
  <c r="F3" i="3" s="1"/>
  <c r="V9" i="4" s="1"/>
  <c r="U17" i="2"/>
  <c r="K18" i="6" s="1"/>
  <c r="C11" i="6" s="1"/>
  <c r="S17" i="2"/>
  <c r="F8" i="5" s="1"/>
  <c r="E17" i="2"/>
  <c r="I15" i="2"/>
  <c r="W11" i="3" s="1"/>
  <c r="C14" i="2"/>
  <c r="O23" i="3" s="1"/>
  <c r="F13" i="2"/>
  <c r="F26" i="2" s="1"/>
  <c r="P14" i="3" s="1"/>
  <c r="D13" i="2"/>
  <c r="K11" i="2"/>
  <c r="O21" i="3" s="1"/>
  <c r="G5" i="5" s="1"/>
  <c r="N10" i="2"/>
  <c r="X26" i="2" s="1"/>
  <c r="F8" i="6" s="1"/>
  <c r="Z15" i="2" s="1"/>
  <c r="G10" i="2"/>
  <c r="C7" i="6" s="1"/>
  <c r="E10" i="2"/>
  <c r="Q9" i="2"/>
  <c r="BA8" i="2"/>
  <c r="Z15" i="3" s="1"/>
  <c r="R8" i="2"/>
  <c r="S15" i="4" s="1"/>
  <c r="D14" i="4" s="1"/>
  <c r="E8" i="2"/>
  <c r="B19" i="5" s="1"/>
  <c r="V14" i="3" s="1"/>
  <c r="F2" i="2" s="1"/>
  <c r="R7" i="2"/>
  <c r="Z22" i="4" s="1"/>
  <c r="X24" i="5" s="1"/>
  <c r="O26" i="4" s="1"/>
  <c r="Q7" i="2"/>
  <c r="J7" i="2"/>
  <c r="H6" i="2"/>
  <c r="T3" i="3" s="1"/>
  <c r="Y10" i="4" s="1"/>
  <c r="J19" i="6" s="1"/>
  <c r="N5" i="2"/>
  <c r="O4" i="2"/>
  <c r="X3" i="2"/>
  <c r="V3" i="2"/>
  <c r="U12" i="6" s="1"/>
  <c r="U17" i="6" s="1"/>
  <c r="T3" i="2"/>
  <c r="U11" i="5" s="1"/>
  <c r="P3" i="2"/>
  <c r="B3" i="2"/>
  <c r="R1" i="2"/>
  <c r="N4" i="3" s="1"/>
  <c r="F19" i="3" s="1"/>
  <c r="K1" i="2"/>
  <c r="Z25" i="2" s="1"/>
  <c r="M19" i="6" s="1"/>
</calcChain>
</file>

<file path=xl/sharedStrings.xml><?xml version="1.0" encoding="utf-8"?>
<sst xmlns="http://schemas.openxmlformats.org/spreadsheetml/2006/main" count="123" uniqueCount="69">
  <si>
    <t>J</t>
  </si>
  <si>
    <t>48</t>
  </si>
  <si>
    <t>,</t>
  </si>
  <si>
    <t>66</t>
  </si>
  <si>
    <t>65</t>
  </si>
  <si>
    <t>95</t>
  </si>
  <si>
    <t>.</t>
  </si>
  <si>
    <t>o</t>
  </si>
  <si>
    <t>a</t>
  </si>
  <si>
    <t>_</t>
  </si>
  <si>
    <t>w</t>
  </si>
  <si>
    <t>"</t>
  </si>
  <si>
    <t>108</t>
  </si>
  <si>
    <t>44</t>
  </si>
  <si>
    <t>0</t>
  </si>
  <si>
    <t>\</t>
  </si>
  <si>
    <t>70</t>
  </si>
  <si>
    <t>33</t>
  </si>
  <si>
    <t>46</t>
  </si>
  <si>
    <t>111</t>
  </si>
  <si>
    <t>116</t>
  </si>
  <si>
    <t>g</t>
  </si>
  <si>
    <t>i</t>
  </si>
  <si>
    <t>41</t>
  </si>
  <si>
    <t>S</t>
  </si>
  <si>
    <t>117</t>
  </si>
  <si>
    <t>l</t>
  </si>
  <si>
    <t>n</t>
  </si>
  <si>
    <t>34</t>
  </si>
  <si>
    <t>100</t>
  </si>
  <si>
    <t>}</t>
  </si>
  <si>
    <t>114</t>
  </si>
  <si>
    <t>99</t>
  </si>
  <si>
    <t>p</t>
  </si>
  <si>
    <t>{</t>
  </si>
  <si>
    <t>104</t>
  </si>
  <si>
    <t>51</t>
  </si>
  <si>
    <t>76</t>
  </si>
  <si>
    <t>t</t>
  </si>
  <si>
    <t>D</t>
  </si>
  <si>
    <t>M</t>
  </si>
  <si>
    <t>C</t>
  </si>
  <si>
    <t>e</t>
  </si>
  <si>
    <t>?</t>
  </si>
  <si>
    <t>L</t>
  </si>
  <si>
    <t>X</t>
  </si>
  <si>
    <t>d</t>
  </si>
  <si>
    <t>I</t>
  </si>
  <si>
    <t>40</t>
  </si>
  <si>
    <t>47</t>
  </si>
  <si>
    <t>/</t>
  </si>
  <si>
    <t>115</t>
  </si>
  <si>
    <t>U</t>
  </si>
  <si>
    <t>98</t>
  </si>
  <si>
    <t>82</t>
  </si>
  <si>
    <t>u</t>
  </si>
  <si>
    <t>97</t>
  </si>
  <si>
    <t>67</t>
  </si>
  <si>
    <t>49</t>
  </si>
  <si>
    <t>3</t>
  </si>
  <si>
    <t>112</t>
  </si>
  <si>
    <t>:</t>
  </si>
  <si>
    <t>x</t>
  </si>
  <si>
    <t>m</t>
  </si>
  <si>
    <t>~</t>
  </si>
  <si>
    <t>61</t>
  </si>
  <si>
    <t>74</t>
  </si>
  <si>
    <t>84</t>
  </si>
  <si>
    <t>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</si>
</sst>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0"/>
      <name val="新細明體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DD46D3E6-9DD7-4E1A-B921-C7FA9286946C}">
  <dimension ref="A58:A263"/>
  <sheetViews>
    <sheetView showFormulas="1" topLeftCell="A37" workbookViewId="0">
      <selection activeCell="A58" sqref="A1:XFD1048576"/>
    </sheetView>
  </sheetViews>
  <sheetFormatPr defaultRowHeight="15.75" x14ac:dyDescent="0.25"/>
  <cols>
    <col min="1" max="1" width="10.7109375" style="1" customWidth="1"/>
    <col min="2" max="16384" width="9.140625" style="1"/>
  </cols>
  <sheetData>
    <row r="58" spans="1:1" x14ac:dyDescent="0.25">
      <c r="A58" s="1" t="b">
        <f>FORMULA(mqLen!D14&amp;Mment!BA10&amp;coCGA!S17&amp;coCGA!Q19&amp;KRnsl!L19&amp;Mment!F3&amp;coCGA!G26&amp;coCGA!O23&amp;coCGA!P3&amp;coCGA!K12&amp;KRnsl!J19&amp;KRnsl!C11&amp;coCGA!N3&amp;mqLen!E4&amp;coCGA!D11&amp;KRnsl!T5&amp;JVHco!K10&amp;mqLen!BA14&amp;Mment!W1&amp;KRnsl!U13&amp;KRnsl!V9&amp;mqLen!C12&amp;KRnsl!J4&amp;Mment!Y19&amp;mqLen!K19&amp;JVHco!F2&amp;mqLen!K10&amp;coCGA!Z15&amp;mqLen!N21&amp;Mment!N1&amp;Mment!S2&amp;coCGA!X2&amp;Mment!D16&amp;coCGA!U26&amp;coCGA!R1&amp;mqLen!V9&amp;mqLen!R11&amp;Mment!X1&amp;coCGA!D5&amp;KRnsl!Z19&amp;mqLen!BA4&amp;coCGA!Z9&amp;coCGA!G7&amp;mqLen!U10&amp;Mment!U11&amp;coCGA!G18&amp;JVHco!V1&amp;mqLen!O26&amp;Mment!G5&amp;KRnsl!H22&amp;Mment!P10&amp;JVHco!W17&amp;Mment!F8&amp;coCGA!L15&amp;coCGA!H3&amp;KRnsl!U17&amp;KRnsl!BA11&amp;coCGA!X12&amp;KRnsl!F14&amp;Mment!B10&amp;KRnsl!V12&amp;Mment!U12&amp;coCGA!P14&amp;coCGA!Y1&amp;JVHco!B10&amp;JVHco!F16&amp;KRnsl!Q26&amp;Mment!P25&amp;KRnsl!M3&amp;KRnsl!I26&amp;mqLen!L15&amp;mqLen!V25&amp;KRnsl!G2&amp;Mment!I18&amp;Mment!M4&amp;KRnsl!C7&amp;JVHco!N5&amp;KRnsl!M19&amp;Mment!J9&amp;Mment!I7&amp;coCGA!G13&amp;KRnsl!M12&amp;mqLen!X2&amp;mqLen!M1&amp;JVHco!P3&amp;KRnsl!S12&amp;Mment!U10&amp;JVHco!D16&amp;mqLen!P17&amp;KRnsl!I5&amp;coCGA!W24&amp;JVHco!E10&amp;Mment!B8&amp;coCGA!C14&amp;JVHco!Z15&amp;Mment!BA11&amp;coCGA!F19&amp;KRnsl!Z2&amp;JVHco!D13&amp;Mment!O2&amp;KRnsl!D19&amp;Mment!K19&amp;Mment!U20&amp;JVHco!Q9&amp;KRnsl!I17&amp;coCGA!X17&amp;JVHco!Q24&amp;KRnsl!Q4&amp;coCGA!N21&amp;coCGA!W11&amp;JVHco!E17&amp;mqLen!H19&amp;KRnsl!X6&amp;coCGA!N26&amp;coCGA!N18&amp;KRnsl!Q17&amp;JVHco!J25&amp;KRnsl!Z16&amp;mqLen!P13&amp;coCGA!Z21&amp;JVHco!C24&amp;Mment!X19&amp;Mment!O21, A137)</f>
        <v>0</v>
      </c>
    </row>
    <row r="190" spans="1:1" x14ac:dyDescent="0.25">
      <c r="A190" s="1" t="b">
        <f>FORMULA("",A137)</f>
        <v>0</v>
      </c>
    </row>
    <row r="263" spans="1:1" x14ac:dyDescent="0.25">
      <c r="A263" s="1" t="b">
        <f>RETURN()</f>
        <v>1</v>
      </c>
    </row>
  </sheetData>
  <phoneticPr fontId="1" type="noConversion"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G6" sqref="G6"/>
    </sheetView>
  </sheetViews>
  <sheetFormatPr defaultRowHeight="15.75" x14ac:dyDescent="0.25"/>
  <sheetData/>
  <phoneticPr fontId="1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BA26"/>
  <sheetViews>
    <sheetView workbookViewId="0">
      <selection sqref="A1:XFD1048576"/>
    </sheetView>
  </sheetViews>
  <sheetFormatPr defaultRowHeight="15.75" x14ac:dyDescent="0.25"/>
  <cols>
    <col min="1" max="16384" width="9.140625" style="1"/>
  </cols>
  <sheetData>
    <row r="1" spans="2:53" x14ac:dyDescent="0.25">
      <c r="G1" s="1" t="s">
        <v>0</v>
      </c>
      <c r="K1" s="1" t="str">
        <f>CHAR(JVHco!N23)</f>
        <v>t</v>
      </c>
      <c r="R1" s="1" t="str">
        <f>CHAR(Mment!Y20)</f>
        <v>0</v>
      </c>
      <c r="V1" s="1" t="str">
        <f>CHAR(Mment!J19)</f>
        <v>,</v>
      </c>
    </row>
    <row r="2" spans="2:53" x14ac:dyDescent="0.25">
      <c r="F2" s="1" t="str">
        <f>CHAR(coCGA!V14)</f>
        <v>a</v>
      </c>
    </row>
    <row r="3" spans="2:53" x14ac:dyDescent="0.25">
      <c r="B3" s="1">
        <f>CODE(coCGA!V23)</f>
        <v>40</v>
      </c>
      <c r="O3" s="1" t="s">
        <v>1</v>
      </c>
      <c r="P3" s="1" t="str">
        <f>CHAR(coCGA!X24)</f>
        <v>_</v>
      </c>
      <c r="R3" s="1" t="s">
        <v>2</v>
      </c>
      <c r="T3" s="1">
        <f>CODE(coCGA!J2)</f>
        <v>44</v>
      </c>
      <c r="V3" s="1" t="str">
        <f>CHAR(Mment!Z22)</f>
        <v>a</v>
      </c>
      <c r="X3" s="1" t="str">
        <f>CHAR(coCGA!W4)</f>
        <v>_</v>
      </c>
    </row>
    <row r="4" spans="2:53" x14ac:dyDescent="0.25">
      <c r="O4" s="1" t="str">
        <f>CHAR(KRnsl!G11)</f>
        <v>L</v>
      </c>
    </row>
    <row r="5" spans="2:53" x14ac:dyDescent="0.25">
      <c r="N5" s="1" t="str">
        <f>CHAR(coCGA!U12)</f>
        <v>_</v>
      </c>
    </row>
    <row r="6" spans="2:53" x14ac:dyDescent="0.25">
      <c r="H6" s="1">
        <f>CODE(KRnsl!BA9)</f>
        <v>109</v>
      </c>
      <c r="T6" s="1" t="s">
        <v>3</v>
      </c>
      <c r="V6" s="1" t="s">
        <v>2</v>
      </c>
      <c r="Y6" s="1" t="s">
        <v>4</v>
      </c>
    </row>
    <row r="7" spans="2:53" x14ac:dyDescent="0.25">
      <c r="H7" s="1">
        <f>CODE(JVHco!E26)</f>
        <v>34</v>
      </c>
      <c r="J7" s="1">
        <f>CODE(mqLen!R2)</f>
        <v>105</v>
      </c>
      <c r="Q7" s="1">
        <f>CODE(coCGA!BA10)</f>
        <v>103</v>
      </c>
      <c r="R7" s="1">
        <f>CODE(JVHco!G15)</f>
        <v>34</v>
      </c>
    </row>
    <row r="8" spans="2:53" x14ac:dyDescent="0.25">
      <c r="E8" s="1">
        <f>CODE(JVHco!E13)</f>
        <v>97</v>
      </c>
      <c r="R8" s="1" t="str">
        <f>CHAR(KRnsl!O19)</f>
        <v>=</v>
      </c>
      <c r="V8" s="1" t="s">
        <v>5</v>
      </c>
      <c r="BA8" s="1">
        <f>CODE(Mment!D12)</f>
        <v>84</v>
      </c>
    </row>
    <row r="9" spans="2:53" x14ac:dyDescent="0.25">
      <c r="Q9" s="1" t="str">
        <f>CHAR(KRnsl!E17)</f>
        <v>}</v>
      </c>
    </row>
    <row r="10" spans="2:53" x14ac:dyDescent="0.25">
      <c r="B10" s="1" t="str">
        <f>CHAR(Mment!H13)</f>
        <v>?</v>
      </c>
      <c r="E10" s="1" t="str">
        <f>CHAR(JVHco!O3)</f>
        <v>0</v>
      </c>
      <c r="G10" s="1">
        <f>CODE(mqLen!L19)</f>
        <v>83</v>
      </c>
      <c r="K10" s="1" t="str">
        <f>CHAR(mqLen!N16)</f>
        <v>U</v>
      </c>
      <c r="N10" s="1">
        <f>CODE(coCGA!O2)</f>
        <v>111</v>
      </c>
      <c r="Q10" s="1" t="s">
        <v>6</v>
      </c>
      <c r="T10" s="1" t="s">
        <v>7</v>
      </c>
    </row>
    <row r="11" spans="2:53" x14ac:dyDescent="0.25">
      <c r="K11" s="1" t="str">
        <f>CHAR(mqLen!W4)</f>
        <v>h</v>
      </c>
    </row>
    <row r="13" spans="2:53" x14ac:dyDescent="0.25">
      <c r="D13" s="1" t="str">
        <f>CHAR(JVHco!H15)</f>
        <v>l</v>
      </c>
      <c r="E13" s="1" t="s">
        <v>8</v>
      </c>
      <c r="F13" s="1" t="str">
        <f>CHAR(JVHco!Q7)</f>
        <v>g</v>
      </c>
      <c r="V13" s="1" t="s">
        <v>9</v>
      </c>
    </row>
    <row r="14" spans="2:53" x14ac:dyDescent="0.25">
      <c r="C14" s="1">
        <f>CODE(Mment!Z19)</f>
        <v>117</v>
      </c>
      <c r="O14" s="1" t="s">
        <v>10</v>
      </c>
    </row>
    <row r="15" spans="2:53" x14ac:dyDescent="0.25">
      <c r="G15" s="1" t="s">
        <v>11</v>
      </c>
      <c r="H15" s="1" t="s">
        <v>12</v>
      </c>
      <c r="I15" s="1">
        <f>CODE(KRnsl!J10)</f>
        <v>126</v>
      </c>
      <c r="Z15" s="1" t="str">
        <f>CHAR(KRnsl!F8)</f>
        <v>o</v>
      </c>
    </row>
    <row r="16" spans="2:53" x14ac:dyDescent="0.25">
      <c r="D16" s="1" t="str">
        <f>CHAR(KRnsl!O6)</f>
        <v>t</v>
      </c>
      <c r="F16" s="1" t="str">
        <f>CHAR(Mment!T23)</f>
        <v>A</v>
      </c>
      <c r="H16" s="1" t="s">
        <v>13</v>
      </c>
    </row>
    <row r="17" spans="2:53" x14ac:dyDescent="0.25">
      <c r="E17" s="1" t="str">
        <f>CHAR(mqLen!Z8)</f>
        <v>t</v>
      </c>
      <c r="S17" s="1">
        <f>CODE(KRnsl!BA7)</f>
        <v>58</v>
      </c>
      <c r="U17" s="1" t="str">
        <f>CHAR(coCGA!W10)</f>
        <v>o</v>
      </c>
      <c r="W17" s="1" t="str">
        <f>CHAR(KRnsl!S9)</f>
        <v>p</v>
      </c>
      <c r="BA17" s="1" t="str">
        <f>CHAR(JVHco!H16)</f>
        <v>,</v>
      </c>
    </row>
    <row r="18" spans="2:53" x14ac:dyDescent="0.25">
      <c r="F18" s="1">
        <f>CODE(Mment!F12)</f>
        <v>105</v>
      </c>
      <c r="Q18" s="1" t="str">
        <f>CHAR(JVHco!I22)</f>
        <v>0</v>
      </c>
      <c r="Z18" s="1" t="str">
        <f>CHAR(coCGA!U20)</f>
        <v>"</v>
      </c>
    </row>
    <row r="19" spans="2:53" x14ac:dyDescent="0.25">
      <c r="G19" s="1" t="s">
        <v>12</v>
      </c>
      <c r="R19" s="1" t="str">
        <f>CHAR(KRnsl!E5)</f>
        <v>p</v>
      </c>
    </row>
    <row r="20" spans="2:53" x14ac:dyDescent="0.25">
      <c r="F20" s="1">
        <f>CODE(Mment!BA21)</f>
        <v>44</v>
      </c>
    </row>
    <row r="21" spans="2:53" x14ac:dyDescent="0.25">
      <c r="V21" s="1">
        <f>CODE(JVHco!O4)</f>
        <v>76</v>
      </c>
    </row>
    <row r="22" spans="2:53" x14ac:dyDescent="0.25">
      <c r="I22" s="1" t="s">
        <v>1</v>
      </c>
      <c r="L22" s="1">
        <f>CODE(coCGA!C19)</f>
        <v>77</v>
      </c>
    </row>
    <row r="23" spans="2:53" x14ac:dyDescent="0.25">
      <c r="N23" s="1">
        <f>CODE(mqLen!H11)</f>
        <v>116</v>
      </c>
    </row>
    <row r="24" spans="2:53" x14ac:dyDescent="0.25">
      <c r="B24" s="1">
        <f>CODE(coCGA!D17)</f>
        <v>108</v>
      </c>
      <c r="C24" s="1" t="str">
        <f>CHAR(KRnsl!G8)</f>
        <v>,</v>
      </c>
      <c r="J24" s="1">
        <f>CODE(coCGA!J20)</f>
        <v>65</v>
      </c>
      <c r="Q24" s="1" t="str">
        <f>CHAR(Mment!O5)</f>
        <v>"</v>
      </c>
      <c r="Y24" s="1" t="s">
        <v>7</v>
      </c>
    </row>
    <row r="25" spans="2:53" x14ac:dyDescent="0.25">
      <c r="J25" s="1" t="str">
        <f>CHAR(Mment!Y16)</f>
        <v>t</v>
      </c>
      <c r="R25" s="1">
        <f>CODE(Mment!Q8)</f>
        <v>67</v>
      </c>
      <c r="Z25" s="1">
        <f>CODE(JVHco!K1)</f>
        <v>116</v>
      </c>
    </row>
    <row r="26" spans="2:53" x14ac:dyDescent="0.25">
      <c r="E26" s="1" t="str">
        <f>CHAR(Mment!L11)</f>
        <v>"</v>
      </c>
      <c r="F26" s="1">
        <f>CODE(JVHco!F13)</f>
        <v>103</v>
      </c>
      <c r="S26" s="1" t="s">
        <v>14</v>
      </c>
      <c r="X26" s="1" t="str">
        <f>CHAR(JVHco!N10)</f>
        <v>o</v>
      </c>
    </row>
  </sheetData>
  <phoneticPr fontId="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BA26"/>
  <sheetViews>
    <sheetView workbookViewId="0">
      <selection sqref="A1:XFD1048576"/>
    </sheetView>
  </sheetViews>
  <sheetFormatPr defaultRowHeight="15.75" x14ac:dyDescent="0.25"/>
  <cols>
    <col min="1" max="16384" width="9.140625" style="1"/>
  </cols>
  <sheetData>
    <row r="1" spans="3:53" x14ac:dyDescent="0.25">
      <c r="K1" s="1">
        <f>CODE(coCGA!T4)</f>
        <v>95</v>
      </c>
      <c r="O1" s="1">
        <f>CODE(mqLen!BA9)</f>
        <v>116</v>
      </c>
      <c r="R1" s="1" t="str">
        <f>CHAR(KRnsl!BA10)</f>
        <v>"</v>
      </c>
      <c r="S1" s="1">
        <f>CODE(mqLen!C23)</f>
        <v>116</v>
      </c>
      <c r="W1" s="1" t="s">
        <v>15</v>
      </c>
      <c r="Y1" s="1" t="str">
        <f>CHAR(Mment!N15)</f>
        <v>/</v>
      </c>
    </row>
    <row r="2" spans="3:53" x14ac:dyDescent="0.25">
      <c r="J2" s="1" t="str">
        <f>CHAR(KRnsl!W2)</f>
        <v>,</v>
      </c>
      <c r="O2" s="1" t="s">
        <v>7</v>
      </c>
      <c r="W2" s="1">
        <f>CODE(Mment!Z14)</f>
        <v>34</v>
      </c>
      <c r="X2" s="1" t="str">
        <f>CHAR(coCGA!W26)</f>
        <v>l</v>
      </c>
    </row>
    <row r="3" spans="3:53" x14ac:dyDescent="0.25">
      <c r="F3" s="1">
        <f>CODE(JVHco!BA17)</f>
        <v>44</v>
      </c>
      <c r="H3" s="1" t="str">
        <f>CHAR(Mment!N3)</f>
        <v>/</v>
      </c>
      <c r="N3" s="1" t="str">
        <f>CHAR(Mment!M14)</f>
        <v>n</v>
      </c>
      <c r="P3" s="1" t="str">
        <f>CHAR(mqLen!G13)</f>
        <v>r</v>
      </c>
      <c r="T3" s="1" t="str">
        <f>CHAR(JVHco!H6)</f>
        <v>m</v>
      </c>
    </row>
    <row r="4" spans="3:53" x14ac:dyDescent="0.25">
      <c r="D4" s="1" t="s">
        <v>16</v>
      </c>
      <c r="N4" s="1">
        <f>CODE(JVHco!R1)</f>
        <v>48</v>
      </c>
      <c r="O4" s="1">
        <f>CODE(KRnsl!J15)</f>
        <v>66</v>
      </c>
      <c r="T4" s="1" t="str">
        <f>CHAR(KRnsl!Q25)</f>
        <v>_</v>
      </c>
      <c r="W4" s="1">
        <f>CODE(JVHco!V13)</f>
        <v>95</v>
      </c>
    </row>
    <row r="5" spans="3:53" x14ac:dyDescent="0.25">
      <c r="D5" s="1" t="str">
        <f>CHAR(coCGA!N6)</f>
        <v>J</v>
      </c>
    </row>
    <row r="6" spans="3:53" x14ac:dyDescent="0.25">
      <c r="N6" s="1">
        <f>CODE(coCGA!C18)</f>
        <v>74</v>
      </c>
    </row>
    <row r="7" spans="3:53" x14ac:dyDescent="0.25">
      <c r="F7" s="1" t="str">
        <f>CHAR(Mment!J15)</f>
        <v>,</v>
      </c>
      <c r="G7" s="1" t="str">
        <f>CHAR(coCGA!O4)</f>
        <v>B</v>
      </c>
      <c r="Z7" s="1" t="s">
        <v>17</v>
      </c>
      <c r="BA7" s="1" t="s">
        <v>18</v>
      </c>
    </row>
    <row r="8" spans="3:53" x14ac:dyDescent="0.25">
      <c r="M8" s="1" t="s">
        <v>19</v>
      </c>
      <c r="N8" s="1" t="str">
        <f>CHAR(coCGA!H23)</f>
        <v>U</v>
      </c>
    </row>
    <row r="9" spans="3:53" x14ac:dyDescent="0.25">
      <c r="J9" s="1" t="s">
        <v>20</v>
      </c>
      <c r="Z9" s="1" t="str">
        <f>CHAR(KRnsl!X22)</f>
        <v>B</v>
      </c>
    </row>
    <row r="10" spans="3:53" x14ac:dyDescent="0.25">
      <c r="W10" s="1">
        <f>CODE(JVHco!T10)</f>
        <v>111</v>
      </c>
      <c r="BA10" s="1" t="s">
        <v>21</v>
      </c>
    </row>
    <row r="11" spans="3:53" x14ac:dyDescent="0.25">
      <c r="D11" s="1" t="str">
        <f>CHAR(JVHco!F20)</f>
        <v>,</v>
      </c>
      <c r="W11" s="1" t="str">
        <f>CHAR(JVHco!I15)</f>
        <v>~</v>
      </c>
    </row>
    <row r="12" spans="3:53" x14ac:dyDescent="0.25">
      <c r="K12" s="1" t="str">
        <f>CHAR(KRnsl!H9)</f>
        <v>l</v>
      </c>
      <c r="Q12" s="1" t="s">
        <v>22</v>
      </c>
      <c r="T12" s="1">
        <f>CODE(mqLen!I22)</f>
        <v>63</v>
      </c>
      <c r="U12" s="1">
        <f>CODE(Mment!E25)</f>
        <v>95</v>
      </c>
      <c r="X12" s="1" t="str">
        <f>CHAR(Mment!K6)</f>
        <v>s</v>
      </c>
      <c r="BA12" s="1" t="str">
        <f>CHAR(coCGA!T12)</f>
        <v>?</v>
      </c>
    </row>
    <row r="13" spans="3:53" x14ac:dyDescent="0.25">
      <c r="D13" s="1" t="s">
        <v>22</v>
      </c>
      <c r="G13" s="1" t="str">
        <f>CHAR(coCGA!K1)</f>
        <v>_</v>
      </c>
      <c r="BA13" s="1" t="s">
        <v>23</v>
      </c>
    </row>
    <row r="14" spans="3:53" x14ac:dyDescent="0.25">
      <c r="C14" s="1" t="str">
        <f>CHAR(KRnsl!F24)</f>
        <v>0</v>
      </c>
      <c r="I14" s="1" t="s">
        <v>24</v>
      </c>
      <c r="K14" s="1">
        <f>CODE(KRnsl!N16)</f>
        <v>68</v>
      </c>
      <c r="N14" s="1">
        <f>CODE(KRnsl!V22)</f>
        <v>108</v>
      </c>
      <c r="P14" s="1" t="str">
        <f>CHAR(JVHco!F26)</f>
        <v>g</v>
      </c>
      <c r="V14" s="1">
        <f>CODE(Mment!B19)</f>
        <v>97</v>
      </c>
    </row>
    <row r="15" spans="3:53" x14ac:dyDescent="0.25">
      <c r="D15" s="1" t="str">
        <f>CHAR(Mment!O22)</f>
        <v>i</v>
      </c>
      <c r="L15" s="1" t="str">
        <f>CHAR(KRnsl!F16)</f>
        <v>/</v>
      </c>
      <c r="Z15" s="1" t="str">
        <f>CHAR(JVHco!BA8)</f>
        <v>T</v>
      </c>
    </row>
    <row r="16" spans="3:53" x14ac:dyDescent="0.25">
      <c r="D16" s="1" t="s">
        <v>25</v>
      </c>
      <c r="W16" s="1">
        <f>CODE(mqLen!J4)</f>
        <v>123</v>
      </c>
    </row>
    <row r="17" spans="2:53" x14ac:dyDescent="0.25">
      <c r="D17" s="1" t="s">
        <v>26</v>
      </c>
      <c r="M17" s="1">
        <f>CODE(KRnsl!I21)</f>
        <v>88</v>
      </c>
      <c r="S17" s="1" t="str">
        <f>CHAR(JVHco!J24)</f>
        <v>A</v>
      </c>
      <c r="U17" s="1">
        <f>CODE(KRnsl!BA24)</f>
        <v>111</v>
      </c>
      <c r="W17" s="1">
        <f>CODE(coCGA!S20)</f>
        <v>110</v>
      </c>
      <c r="X17" s="1" t="str">
        <f>CHAR(Mment!K8)</f>
        <v>,</v>
      </c>
      <c r="BA17" s="1" t="s">
        <v>4</v>
      </c>
    </row>
    <row r="18" spans="2:53" x14ac:dyDescent="0.25">
      <c r="C18" s="1" t="str">
        <f>CHAR(KRnsl!X19)</f>
        <v>J</v>
      </c>
      <c r="G18" s="1" t="str">
        <f>CHAR(mqLen!H26)</f>
        <v>0</v>
      </c>
      <c r="N18" s="1" t="str">
        <f>CHAR(coCGA!J9)</f>
        <v>t</v>
      </c>
    </row>
    <row r="19" spans="2:53" x14ac:dyDescent="0.25">
      <c r="C19" s="1" t="str">
        <f>CHAR(Mment!E11)</f>
        <v>M</v>
      </c>
      <c r="F19" s="1" t="str">
        <f>CHAR(coCGA!N4)</f>
        <v>0</v>
      </c>
      <c r="I19" s="1">
        <f>CODE(KRnsl!P24)</f>
        <v>34</v>
      </c>
      <c r="Q19" s="1" t="str">
        <f>CHAR(JVHco!V21)</f>
        <v>L</v>
      </c>
    </row>
    <row r="20" spans="2:53" x14ac:dyDescent="0.25">
      <c r="J20" s="1" t="str">
        <f>CHAR(JVHco!Y6)</f>
        <v>A</v>
      </c>
      <c r="S20" s="1" t="s">
        <v>27</v>
      </c>
      <c r="U20" s="1" t="s">
        <v>28</v>
      </c>
    </row>
    <row r="21" spans="2:53" x14ac:dyDescent="0.25">
      <c r="F21" s="1" t="s">
        <v>29</v>
      </c>
      <c r="H21" s="1">
        <f>CODE(Mment!E1)</f>
        <v>48</v>
      </c>
      <c r="I21" s="1" t="str">
        <f>CHAR(coCGA!N14)</f>
        <v>l</v>
      </c>
      <c r="N21" s="1" t="str">
        <f>CHAR(Mment!Z17)</f>
        <v>\</v>
      </c>
      <c r="O21" s="1">
        <f>CODE(JVHco!K11)</f>
        <v>104</v>
      </c>
      <c r="V21" s="1" t="s">
        <v>30</v>
      </c>
      <c r="Z21" s="1" t="str">
        <f>CHAR(coCGA!H21)</f>
        <v>0</v>
      </c>
    </row>
    <row r="22" spans="2:53" x14ac:dyDescent="0.25">
      <c r="H22" s="1">
        <f>CODE(Mment!I21)</f>
        <v>105</v>
      </c>
      <c r="N22" s="1">
        <f>CODE(JVHco!G1)</f>
        <v>74</v>
      </c>
    </row>
    <row r="23" spans="2:53" x14ac:dyDescent="0.25">
      <c r="F23" s="1">
        <f>CODE(Mment!X8)</f>
        <v>111</v>
      </c>
      <c r="H23" s="1">
        <f>CODE(Mment!Y11)</f>
        <v>85</v>
      </c>
      <c r="O23" s="1" t="str">
        <f>CHAR(JVHco!C14)</f>
        <v>u</v>
      </c>
      <c r="V23" s="1" t="str">
        <f>CHAR(Mment!K1)</f>
        <v>(</v>
      </c>
      <c r="Y23" s="1">
        <f>CODE(coCGA!Y25)</f>
        <v>98</v>
      </c>
    </row>
    <row r="24" spans="2:53" x14ac:dyDescent="0.25">
      <c r="E24" s="1">
        <f>CODE(mqLen!Q25)</f>
        <v>67</v>
      </c>
      <c r="H24" s="1">
        <f>CODE(coCGA!D15)</f>
        <v>105</v>
      </c>
      <c r="L24" s="1">
        <f>CODE(JVHco!S26)</f>
        <v>48</v>
      </c>
      <c r="N24" s="1" t="s">
        <v>31</v>
      </c>
      <c r="O24" s="1" t="s">
        <v>28</v>
      </c>
      <c r="W24" s="1" t="str">
        <f>CHAR(mqLen!U7)</f>
        <v>o</v>
      </c>
      <c r="X24" s="1" t="s">
        <v>5</v>
      </c>
    </row>
    <row r="25" spans="2:53" x14ac:dyDescent="0.25">
      <c r="U25" s="1">
        <f>CODE(mqLen!M22)</f>
        <v>76</v>
      </c>
      <c r="Y25" s="1" t="str">
        <f>CHAR(Mment!E16)</f>
        <v>b</v>
      </c>
    </row>
    <row r="26" spans="2:53" x14ac:dyDescent="0.25">
      <c r="B26" s="1" t="s">
        <v>32</v>
      </c>
      <c r="C26" s="1" t="str">
        <f>CHAR(KRnsl!F18)</f>
        <v>/</v>
      </c>
      <c r="G26" s="1" t="str">
        <f>CHAR(Mment!K25)</f>
        <v>"</v>
      </c>
      <c r="N26" s="1" t="str">
        <f>CHAR(mqLen!BA26)</f>
        <v>.</v>
      </c>
      <c r="U26" s="1" t="str">
        <f>CHAR(coCGA!BA17)</f>
        <v>A</v>
      </c>
      <c r="W26" s="1">
        <f>CODE(coCGA!I21)</f>
        <v>108</v>
      </c>
    </row>
  </sheetData>
  <phoneticPr fontId="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BA26"/>
  <sheetViews>
    <sheetView workbookViewId="0">
      <selection sqref="A1:XFD1048576"/>
    </sheetView>
  </sheetViews>
  <sheetFormatPr defaultRowHeight="15.75" x14ac:dyDescent="0.25"/>
  <cols>
    <col min="1" max="16384" width="9.140625" style="1"/>
  </cols>
  <sheetData>
    <row r="1" spans="2:53" x14ac:dyDescent="0.25">
      <c r="I1" s="1" t="str">
        <f>CHAR(Mment!Y12)</f>
        <v>,</v>
      </c>
      <c r="M1" s="1" t="str">
        <f>CHAR(coCGA!F21)</f>
        <v>d</v>
      </c>
      <c r="T1" s="1" t="s">
        <v>20</v>
      </c>
    </row>
    <row r="2" spans="2:53" x14ac:dyDescent="0.25">
      <c r="R2" s="1" t="s">
        <v>22</v>
      </c>
      <c r="S2" s="1" t="str">
        <f>CHAR(KRnsl!D15)</f>
        <v>"</v>
      </c>
      <c r="X2" s="1" t="str">
        <f>CHAR(Mment!N23)</f>
        <v>1</v>
      </c>
      <c r="BA2" s="1" t="s">
        <v>33</v>
      </c>
    </row>
    <row r="4" spans="2:53" x14ac:dyDescent="0.25">
      <c r="E4" s="1" t="str">
        <f>CHAR(coCGA!O24)</f>
        <v>"</v>
      </c>
      <c r="J4" s="1" t="s">
        <v>34</v>
      </c>
      <c r="R4" s="1">
        <f>CODE(coCGA!W1)</f>
        <v>92</v>
      </c>
      <c r="W4" s="1" t="s">
        <v>35</v>
      </c>
      <c r="Y4" s="1" t="str">
        <f>CHAR(coCGA!M8)</f>
        <v>o</v>
      </c>
      <c r="BA4" s="1" t="str">
        <f>CHAR(coCGA!E24)</f>
        <v>C</v>
      </c>
    </row>
    <row r="6" spans="2:53" x14ac:dyDescent="0.25">
      <c r="S6" s="1" t="s">
        <v>2</v>
      </c>
      <c r="Z6" s="1">
        <f>CODE(coCGA!Q12)</f>
        <v>105</v>
      </c>
    </row>
    <row r="7" spans="2:53" x14ac:dyDescent="0.25">
      <c r="C7" s="1" t="s">
        <v>36</v>
      </c>
      <c r="P7" s="1" t="str">
        <f>CHAR(JVHco!G19)</f>
        <v>l</v>
      </c>
      <c r="U7" s="1">
        <f>CODE(Mment!T25)</f>
        <v>111</v>
      </c>
      <c r="V7" s="1">
        <f>CODE(mqLen!O25)</f>
        <v>100</v>
      </c>
    </row>
    <row r="8" spans="2:53" x14ac:dyDescent="0.25">
      <c r="Z8" s="1">
        <f>CODE(mqLen!Q13)</f>
        <v>116</v>
      </c>
    </row>
    <row r="9" spans="2:53" x14ac:dyDescent="0.25">
      <c r="C9" s="1" t="s">
        <v>37</v>
      </c>
      <c r="F9" s="1">
        <f>CODE(mqLen!S6)</f>
        <v>44</v>
      </c>
      <c r="V9" s="1" t="str">
        <f>CHAR(coCGA!F3)</f>
        <v>,</v>
      </c>
      <c r="BA9" s="1" t="s">
        <v>38</v>
      </c>
    </row>
    <row r="10" spans="2:53" x14ac:dyDescent="0.25">
      <c r="B10" s="1">
        <f>CODE(mqLen!N13)</f>
        <v>68</v>
      </c>
      <c r="K10" s="1" t="str">
        <f>CHAR(mqLen!V7)</f>
        <v>d</v>
      </c>
      <c r="U10" s="1" t="str">
        <f>CHAR(KRnsl!V18)</f>
        <v>"</v>
      </c>
      <c r="Y10" s="1">
        <f>CODE(coCGA!T3)</f>
        <v>109</v>
      </c>
    </row>
    <row r="11" spans="2:53" x14ac:dyDescent="0.25">
      <c r="H11" s="1" t="s">
        <v>38</v>
      </c>
      <c r="P11" s="1">
        <f>CODE(coCGA!I14)</f>
        <v>83</v>
      </c>
      <c r="R11" s="1" t="str">
        <f>CHAR(JVHco!H7)</f>
        <v>"</v>
      </c>
    </row>
    <row r="12" spans="2:53" x14ac:dyDescent="0.25">
      <c r="C12" s="1" t="str">
        <f>CHAR(KRnsl!E3)</f>
        <v>w</v>
      </c>
    </row>
    <row r="13" spans="2:53" x14ac:dyDescent="0.25">
      <c r="G13" s="1" t="s">
        <v>31</v>
      </c>
      <c r="N13" s="1" t="s">
        <v>39</v>
      </c>
      <c r="P13" s="1" t="str">
        <f>CHAR(KRnsl!R12)</f>
        <v>,</v>
      </c>
      <c r="Q13" s="1" t="s">
        <v>38</v>
      </c>
    </row>
    <row r="14" spans="2:53" x14ac:dyDescent="0.25">
      <c r="D14" s="1" t="str">
        <f>CHAR(mqLen!S15)</f>
        <v>=</v>
      </c>
      <c r="BA14" s="1" t="str">
        <f>CHAR(Mment!S21)</f>
        <v>R</v>
      </c>
    </row>
    <row r="15" spans="2:53" x14ac:dyDescent="0.25">
      <c r="J15" s="1" t="s">
        <v>13</v>
      </c>
      <c r="L15" s="1" t="str">
        <f>CHAR(coCGA!M17)</f>
        <v>X</v>
      </c>
      <c r="S15" s="1">
        <f>CODE(JVHco!R8)</f>
        <v>61</v>
      </c>
    </row>
    <row r="16" spans="2:53" x14ac:dyDescent="0.25">
      <c r="C16" s="1" t="s">
        <v>40</v>
      </c>
      <c r="N16" s="1">
        <f>CODE(coCGA!N8)</f>
        <v>85</v>
      </c>
      <c r="Z16" s="1" t="s">
        <v>41</v>
      </c>
      <c r="BA16" s="1">
        <f>CODE(mqLen!Z21)</f>
        <v>74</v>
      </c>
    </row>
    <row r="17" spans="2:53" x14ac:dyDescent="0.25">
      <c r="L17" s="1" t="s">
        <v>42</v>
      </c>
      <c r="P17" s="1" t="str">
        <f>CHAR(Mment!H19)</f>
        <v>_</v>
      </c>
      <c r="X17" s="1">
        <f>CODE(mqLen!Y4)</f>
        <v>111</v>
      </c>
    </row>
    <row r="18" spans="2:53" x14ac:dyDescent="0.25">
      <c r="C18" s="1">
        <f>CODE(Mment!I16)</f>
        <v>76</v>
      </c>
    </row>
    <row r="19" spans="2:53" x14ac:dyDescent="0.25">
      <c r="H19" s="1" t="str">
        <f>CHAR(KRnsl!U25)</f>
        <v>m</v>
      </c>
      <c r="K19" s="1" t="str">
        <f>CHAR(KRnsl!Y16)</f>
        <v>o</v>
      </c>
      <c r="L19" s="1" t="s">
        <v>24</v>
      </c>
    </row>
    <row r="20" spans="2:53" x14ac:dyDescent="0.25">
      <c r="P20" s="1" t="s">
        <v>14</v>
      </c>
      <c r="R20" s="1">
        <f>CODE(mqLen!BA2)</f>
        <v>112</v>
      </c>
      <c r="BA20" s="1" t="str">
        <f>CHAR(KRnsl!H3)</f>
        <v>o</v>
      </c>
    </row>
    <row r="21" spans="2:53" x14ac:dyDescent="0.25">
      <c r="N21" s="1" t="str">
        <f>CHAR(mqLen!X17)</f>
        <v>o</v>
      </c>
      <c r="Z21" s="1" t="str">
        <f>CHAR(coCGA!N22)</f>
        <v>J</v>
      </c>
    </row>
    <row r="22" spans="2:53" x14ac:dyDescent="0.25">
      <c r="B22" s="1" t="s">
        <v>11</v>
      </c>
      <c r="I22" s="1" t="s">
        <v>43</v>
      </c>
      <c r="M22" s="1" t="s">
        <v>44</v>
      </c>
      <c r="Q22" s="1">
        <f>CODE(Mment!J26)</f>
        <v>116</v>
      </c>
      <c r="Z22" s="1" t="str">
        <f>CHAR(JVHco!R7)</f>
        <v>"</v>
      </c>
    </row>
    <row r="23" spans="2:53" x14ac:dyDescent="0.25">
      <c r="C23" s="1" t="str">
        <f>CHAR(mqLen!Q22)</f>
        <v>t</v>
      </c>
    </row>
    <row r="24" spans="2:53" x14ac:dyDescent="0.25">
      <c r="Q24" s="1" t="s">
        <v>45</v>
      </c>
    </row>
    <row r="25" spans="2:53" x14ac:dyDescent="0.25">
      <c r="O25" s="1" t="s">
        <v>46</v>
      </c>
      <c r="Q25" s="1" t="str">
        <f>CHAR(JVHco!R25)</f>
        <v>C</v>
      </c>
      <c r="V25" s="1" t="str">
        <f>CHAR(mqLen!C18)</f>
        <v>L</v>
      </c>
    </row>
    <row r="26" spans="2:53" x14ac:dyDescent="0.25">
      <c r="D26" s="1" t="str">
        <f>CHAR(KRnsl!L24)</f>
        <v>C</v>
      </c>
      <c r="H26" s="1" t="s">
        <v>1</v>
      </c>
      <c r="I26" s="1" t="s">
        <v>47</v>
      </c>
      <c r="O26" s="1" t="str">
        <f>CHAR(Mment!X24)</f>
        <v>"</v>
      </c>
      <c r="R26" s="1" t="str">
        <f>CHAR(mqLen!J15)</f>
        <v>,</v>
      </c>
      <c r="BA26" s="1">
        <f>CODE(KRnsl!G15)</f>
        <v>46</v>
      </c>
    </row>
  </sheetData>
  <phoneticPr fontId="1" type="noConversion"/>
  <pageMargins left="0.75" right="0.75" top="1" bottom="1" header="0.5" footer="0.5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BA26"/>
  <sheetViews>
    <sheetView workbookViewId="0">
      <selection sqref="A1:XFD1048576"/>
    </sheetView>
  </sheetViews>
  <sheetFormatPr defaultRowHeight="15.75" x14ac:dyDescent="0.25"/>
  <cols>
    <col min="1" max="16384" width="9.140625" style="1"/>
  </cols>
  <sheetData>
    <row r="1" spans="2:53" x14ac:dyDescent="0.25">
      <c r="E1" s="1" t="s">
        <v>14</v>
      </c>
      <c r="K1" s="1" t="s">
        <v>48</v>
      </c>
      <c r="N1" s="1" t="str">
        <f>CHAR(Mment!P5)</f>
        <v>F</v>
      </c>
      <c r="W1" s="1" t="str">
        <f>CHAR(coCGA!U25)</f>
        <v>L</v>
      </c>
      <c r="X1" s="1" t="str">
        <f>CHAR(mqLen!BA16)</f>
        <v>J</v>
      </c>
    </row>
    <row r="2" spans="2:53" x14ac:dyDescent="0.25">
      <c r="C2" s="1" t="str">
        <f>CHAR(Mment!Z20)</f>
        <v>A</v>
      </c>
      <c r="O2" s="1" t="str">
        <f>CHAR(KRnsl!V7)</f>
        <v>l</v>
      </c>
      <c r="S2" s="1" t="str">
        <f>CHAR(JVHco!F18)</f>
        <v>i</v>
      </c>
      <c r="V2" s="1" t="str">
        <f>CHAR(Mment!W9)</f>
        <v>3</v>
      </c>
    </row>
    <row r="3" spans="2:53" x14ac:dyDescent="0.25">
      <c r="F3" s="1" t="str">
        <f>CHAR(JVHco!B3)</f>
        <v>(</v>
      </c>
      <c r="N3" s="1" t="s">
        <v>49</v>
      </c>
    </row>
    <row r="4" spans="2:53" x14ac:dyDescent="0.25">
      <c r="F4" s="1" t="s">
        <v>50</v>
      </c>
      <c r="M4" s="1" t="str">
        <f>CHAR(coCGA!H22)</f>
        <v>i</v>
      </c>
    </row>
    <row r="5" spans="2:53" x14ac:dyDescent="0.25">
      <c r="G5" s="1" t="str">
        <f>CHAR(coCGA!O21)</f>
        <v>h</v>
      </c>
      <c r="O5" s="1" t="s">
        <v>28</v>
      </c>
      <c r="P5" s="1">
        <f>CODE(KRnsl!H16)</f>
        <v>70</v>
      </c>
    </row>
    <row r="6" spans="2:53" x14ac:dyDescent="0.25">
      <c r="K6" s="1" t="s">
        <v>51</v>
      </c>
    </row>
    <row r="7" spans="2:53" x14ac:dyDescent="0.25">
      <c r="I7" s="1" t="str">
        <f>CHAR(coCGA!L24)</f>
        <v>0</v>
      </c>
      <c r="O7" s="1" t="str">
        <f>CHAR(Mment!E22)</f>
        <v>n</v>
      </c>
    </row>
    <row r="8" spans="2:53" x14ac:dyDescent="0.25">
      <c r="B8" s="1" t="str">
        <f>CHAR(KRnsl!N20)</f>
        <v>o</v>
      </c>
      <c r="F8" s="1" t="str">
        <f>CHAR(JVHco!S17)</f>
        <v>:</v>
      </c>
      <c r="K8" s="1">
        <f>CODE(coCGA!F7)</f>
        <v>44</v>
      </c>
      <c r="Q8" s="1" t="s">
        <v>41</v>
      </c>
      <c r="X8" s="1" t="s">
        <v>7</v>
      </c>
    </row>
    <row r="9" spans="2:53" x14ac:dyDescent="0.25">
      <c r="J9" s="1" t="str">
        <f>CHAR(coCGA!U17)</f>
        <v>o</v>
      </c>
      <c r="W9" s="1">
        <f>CODE(Mment!V25)</f>
        <v>51</v>
      </c>
    </row>
    <row r="10" spans="2:53" x14ac:dyDescent="0.25">
      <c r="B10" s="1" t="str">
        <f>CHAR(KRnsl!B8)</f>
        <v>.</v>
      </c>
      <c r="O10" s="1" t="s">
        <v>27</v>
      </c>
      <c r="P10" s="1" t="str">
        <f>CHAR(mqLen!T1)</f>
        <v>t</v>
      </c>
      <c r="U10" s="1" t="str">
        <f>CHAR(coCGA!D16)</f>
        <v>u</v>
      </c>
      <c r="BA10" s="1" t="str">
        <f>CHAR(Mment!B23)</f>
        <v>C</v>
      </c>
    </row>
    <row r="11" spans="2:53" x14ac:dyDescent="0.25">
      <c r="E11" s="1">
        <f>CODE(mqLen!C16)</f>
        <v>77</v>
      </c>
      <c r="L11" s="1" t="s">
        <v>28</v>
      </c>
      <c r="U11" s="1" t="str">
        <f>CHAR(JVHco!T3)</f>
        <v>,</v>
      </c>
      <c r="Y11" s="1" t="s">
        <v>52</v>
      </c>
      <c r="BA11" s="1" t="str">
        <f>CHAR(Mment!J16)</f>
        <v>0</v>
      </c>
    </row>
    <row r="12" spans="2:53" x14ac:dyDescent="0.25">
      <c r="D12" s="1" t="str">
        <f>CHAR(KRnsl!O24)</f>
        <v>T</v>
      </c>
      <c r="F12" s="1" t="str">
        <f>CHAR(JVHco!J7)</f>
        <v>i</v>
      </c>
      <c r="P12" s="1" t="s">
        <v>7</v>
      </c>
      <c r="U12" s="1" t="str">
        <f>CHAR(coCGA!N24)</f>
        <v>r</v>
      </c>
      <c r="Y12" s="1">
        <f>CODE(JVHco!R3)</f>
        <v>44</v>
      </c>
    </row>
    <row r="13" spans="2:53" x14ac:dyDescent="0.25">
      <c r="H13" s="1">
        <f>CODE(coCGA!BA12)</f>
        <v>63</v>
      </c>
      <c r="Y13" s="1">
        <f>CODE(KRnsl!Y8)</f>
        <v>120</v>
      </c>
    </row>
    <row r="14" spans="2:53" x14ac:dyDescent="0.25">
      <c r="M14" s="1">
        <f>CODE(Mment!O7)</f>
        <v>110</v>
      </c>
      <c r="Z14" s="1" t="str">
        <f>CHAR(coCGA!I19)</f>
        <v>"</v>
      </c>
    </row>
    <row r="15" spans="2:53" x14ac:dyDescent="0.25">
      <c r="J15" s="1">
        <f>CODE(JVHco!V6)</f>
        <v>44</v>
      </c>
      <c r="N15" s="1">
        <f>CODE(KRnsl!E14)</f>
        <v>47</v>
      </c>
    </row>
    <row r="16" spans="2:53" x14ac:dyDescent="0.25">
      <c r="D16" s="1" t="str">
        <f>CHAR(KRnsl!S13)</f>
        <v>e</v>
      </c>
      <c r="E16" s="1" t="s">
        <v>53</v>
      </c>
      <c r="I16" s="1" t="s">
        <v>44</v>
      </c>
      <c r="J16" s="1">
        <f>CODE(JVHco!Q18)</f>
        <v>48</v>
      </c>
      <c r="L16" s="1" t="s">
        <v>7</v>
      </c>
      <c r="Y16" s="1">
        <f>CODE(Mment!BA26)</f>
        <v>116</v>
      </c>
    </row>
    <row r="17" spans="2:53" x14ac:dyDescent="0.25">
      <c r="F17" s="1" t="s">
        <v>54</v>
      </c>
      <c r="Z17" s="1">
        <f>CODE(KRnsl!C15)</f>
        <v>92</v>
      </c>
    </row>
    <row r="18" spans="2:53" x14ac:dyDescent="0.25">
      <c r="I18" s="1" t="str">
        <f>CHAR(JVHco!V8)</f>
        <v>_</v>
      </c>
    </row>
    <row r="19" spans="2:53" x14ac:dyDescent="0.25">
      <c r="B19" s="1" t="str">
        <f>CHAR(JVHco!E8)</f>
        <v>a</v>
      </c>
      <c r="E19" s="1">
        <f>CODE(KRnsl!R4)</f>
        <v>111</v>
      </c>
      <c r="H19" s="1">
        <f>CODE(JVHco!X3)</f>
        <v>95</v>
      </c>
      <c r="I19" s="1">
        <f>CODE(mqLen!P20)</f>
        <v>48</v>
      </c>
      <c r="J19" s="1">
        <f>CODE(mqLen!I1)</f>
        <v>44</v>
      </c>
      <c r="K19" s="1" t="str">
        <f>CHAR(KRnsl!Y13)</f>
        <v>!</v>
      </c>
      <c r="X19" s="1" t="str">
        <f>CHAR(KRnsl!C5)</f>
        <v>0</v>
      </c>
      <c r="Y19" s="1" t="str">
        <f>CHAR(KRnsl!E15)</f>
        <v>l</v>
      </c>
      <c r="Z19" s="1" t="s">
        <v>55</v>
      </c>
    </row>
    <row r="20" spans="2:53" x14ac:dyDescent="0.25">
      <c r="U20" s="1" t="str">
        <f>CHAR(coCGA!Z7)</f>
        <v>!</v>
      </c>
      <c r="Y20" s="1">
        <f>CODE(KRnsl!B21)</f>
        <v>48</v>
      </c>
      <c r="Z20" s="1" t="s">
        <v>4</v>
      </c>
    </row>
    <row r="21" spans="2:53" x14ac:dyDescent="0.25">
      <c r="I21" s="1" t="str">
        <f>CHAR(mqLen!Z6)</f>
        <v>i</v>
      </c>
      <c r="O21" s="1" t="str">
        <f>CHAR(coCGA!BA13)</f>
        <v>)</v>
      </c>
      <c r="S21" s="1">
        <f>CODE(KRnsl!N5)</f>
        <v>82</v>
      </c>
      <c r="W21" s="1" t="s">
        <v>9</v>
      </c>
      <c r="X21" s="1">
        <f>CODE(Mment!P12)</f>
        <v>111</v>
      </c>
      <c r="BA21" s="1" t="str">
        <f>CHAR(mqLen!F9)</f>
        <v>,</v>
      </c>
    </row>
    <row r="22" spans="2:53" x14ac:dyDescent="0.25">
      <c r="E22" s="1">
        <f>CODE(Mment!O10)</f>
        <v>110</v>
      </c>
      <c r="O22" s="1">
        <f>CODE(coCGA!D13)</f>
        <v>105</v>
      </c>
      <c r="Z22" s="1" t="s">
        <v>56</v>
      </c>
    </row>
    <row r="23" spans="2:53" x14ac:dyDescent="0.25">
      <c r="B23" s="1" t="s">
        <v>57</v>
      </c>
      <c r="N23" s="1" t="s">
        <v>58</v>
      </c>
      <c r="T23" s="1">
        <f>CODE(Mment!C2)</f>
        <v>65</v>
      </c>
    </row>
    <row r="24" spans="2:53" x14ac:dyDescent="0.25">
      <c r="X24" s="1">
        <f>CODE(mqLen!Z22)</f>
        <v>34</v>
      </c>
    </row>
    <row r="25" spans="2:53" x14ac:dyDescent="0.25">
      <c r="E25" s="1" t="str">
        <f>CHAR(KRnsl!Q6)</f>
        <v>_</v>
      </c>
      <c r="K25" s="1">
        <f>CODE(mqLen!S2)</f>
        <v>34</v>
      </c>
      <c r="P25" s="1" t="str">
        <f>CHAR(mqLen!P11)</f>
        <v>S</v>
      </c>
      <c r="T25" s="1" t="str">
        <f>CHAR(KRnsl!L17)</f>
        <v>o</v>
      </c>
      <c r="V25" s="1" t="s">
        <v>59</v>
      </c>
    </row>
    <row r="26" spans="2:53" x14ac:dyDescent="0.25">
      <c r="J26" s="1" t="s">
        <v>38</v>
      </c>
      <c r="BA26" s="1" t="s">
        <v>38</v>
      </c>
    </row>
  </sheetData>
  <phoneticPr fontId="1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BA26"/>
  <sheetViews>
    <sheetView workbookViewId="0">
      <selection sqref="A1:XFD1048576"/>
    </sheetView>
  </sheetViews>
  <sheetFormatPr defaultRowHeight="15.75" x14ac:dyDescent="0.25"/>
  <cols>
    <col min="1" max="16384" width="9.140625" style="1"/>
  </cols>
  <sheetData>
    <row r="2" spans="2:53" x14ac:dyDescent="0.25">
      <c r="G2" s="1" t="str">
        <f>CHAR(JVHco!L22)</f>
        <v>M</v>
      </c>
      <c r="W2" s="1" t="s">
        <v>13</v>
      </c>
      <c r="Z2" s="1" t="str">
        <f>CHAR(Mment!X21)</f>
        <v>o</v>
      </c>
    </row>
    <row r="3" spans="2:53" x14ac:dyDescent="0.25">
      <c r="E3" s="1">
        <f>CODE(JVHco!O14)</f>
        <v>119</v>
      </c>
      <c r="H3" s="1" t="s">
        <v>19</v>
      </c>
      <c r="M3" s="1" t="str">
        <f>CHAR(mqLen!C7)</f>
        <v>3</v>
      </c>
      <c r="Q3" s="1">
        <f>CODE(JVHco!Q10)</f>
        <v>46</v>
      </c>
    </row>
    <row r="4" spans="2:53" x14ac:dyDescent="0.25">
      <c r="J4" s="1" t="str">
        <f>CHAR(coCGA!W17)</f>
        <v>n</v>
      </c>
      <c r="L4" s="1">
        <f>CODE(Mment!V2)</f>
        <v>51</v>
      </c>
      <c r="Q4" s="1" t="str">
        <f>CHAR(coCGA!BA7)</f>
        <v>.</v>
      </c>
      <c r="R4" s="1" t="s">
        <v>7</v>
      </c>
    </row>
    <row r="5" spans="2:53" x14ac:dyDescent="0.25">
      <c r="C5" s="1" t="s">
        <v>1</v>
      </c>
      <c r="E5" s="1" t="s">
        <v>60</v>
      </c>
      <c r="I5" s="1" t="str">
        <f>CHAR(coCGA!B26)</f>
        <v>c</v>
      </c>
      <c r="N5" s="1" t="str">
        <f>CHAR(Mment!F17)</f>
        <v>R</v>
      </c>
      <c r="Q5" s="1">
        <f>CODE(JVHco!Y24)</f>
        <v>111</v>
      </c>
      <c r="T5" s="1" t="str">
        <f>CHAR(KRnsl!V19)</f>
        <v>"</v>
      </c>
    </row>
    <row r="6" spans="2:53" x14ac:dyDescent="0.25">
      <c r="O6" s="1">
        <f>CODE(KRnsl!B10)</f>
        <v>116</v>
      </c>
      <c r="Q6" s="1">
        <f>CODE(Mment!W21)</f>
        <v>95</v>
      </c>
      <c r="X6" s="1" t="str">
        <f>CHAR(mqLen!R20)</f>
        <v>p</v>
      </c>
    </row>
    <row r="7" spans="2:53" x14ac:dyDescent="0.25">
      <c r="C7" s="1" t="str">
        <f>CHAR(JVHco!G10)</f>
        <v>S</v>
      </c>
      <c r="V7" s="1" t="s">
        <v>12</v>
      </c>
      <c r="BA7" s="1" t="s">
        <v>61</v>
      </c>
    </row>
    <row r="8" spans="2:53" x14ac:dyDescent="0.25">
      <c r="B8" s="1" t="s">
        <v>18</v>
      </c>
      <c r="F8" s="1">
        <f>CODE(JVHco!X26)</f>
        <v>111</v>
      </c>
      <c r="G8" s="1" t="s">
        <v>13</v>
      </c>
      <c r="Y8" s="1" t="s">
        <v>62</v>
      </c>
    </row>
    <row r="9" spans="2:53" x14ac:dyDescent="0.25">
      <c r="H9" s="1">
        <f>CODE(mqLen!P7)</f>
        <v>108</v>
      </c>
      <c r="S9" s="1">
        <f>CODE(JVHco!R19)</f>
        <v>112</v>
      </c>
      <c r="V9" s="1" t="str">
        <f>CHAR(coCGA!F23)</f>
        <v>o</v>
      </c>
      <c r="Y9" s="1" t="str">
        <f>CHAR(Mment!I19)</f>
        <v>0</v>
      </c>
      <c r="BA9" s="1" t="s">
        <v>63</v>
      </c>
    </row>
    <row r="10" spans="2:53" x14ac:dyDescent="0.25">
      <c r="B10" s="1" t="str">
        <f>CHAR(coCGA!O1)</f>
        <v>t</v>
      </c>
      <c r="J10" s="1" t="s">
        <v>64</v>
      </c>
      <c r="U10" s="1">
        <f>CODE(mqLen!D26)</f>
        <v>67</v>
      </c>
      <c r="BA10" s="1" t="s">
        <v>28</v>
      </c>
    </row>
    <row r="11" spans="2:53" x14ac:dyDescent="0.25">
      <c r="C11" s="1" t="str">
        <f>CHAR(KRnsl!K18)</f>
        <v>o</v>
      </c>
      <c r="G11" s="1" t="s">
        <v>37</v>
      </c>
      <c r="BA11" s="1" t="str">
        <f>CHAR(coCGA!H24)</f>
        <v>i</v>
      </c>
    </row>
    <row r="12" spans="2:53" x14ac:dyDescent="0.25">
      <c r="M12" s="1" t="str">
        <f>CHAR(Mment!E19)</f>
        <v>o</v>
      </c>
      <c r="R12" s="1">
        <f>CODE(mqLen!R26)</f>
        <v>44</v>
      </c>
      <c r="S12" s="1" t="str">
        <f>CHAR(coCGA!Y23)</f>
        <v>b</v>
      </c>
      <c r="U12" s="1">
        <f>CODE(JVHco!V3)</f>
        <v>97</v>
      </c>
      <c r="V12" s="1" t="str">
        <f>CHAR(KRnsl!G17)</f>
        <v>o</v>
      </c>
    </row>
    <row r="13" spans="2:53" x14ac:dyDescent="0.25">
      <c r="S13" s="1">
        <f>CODE(mqLen!L17)</f>
        <v>101</v>
      </c>
      <c r="U13" s="1" t="str">
        <f>CHAR(coCGA!K14)</f>
        <v>D</v>
      </c>
      <c r="Y13" s="1" t="s">
        <v>17</v>
      </c>
    </row>
    <row r="14" spans="2:53" x14ac:dyDescent="0.25">
      <c r="E14" s="1" t="s">
        <v>50</v>
      </c>
      <c r="F14" s="1" t="str">
        <f>CHAR(KRnsl!L4)</f>
        <v>3</v>
      </c>
    </row>
    <row r="15" spans="2:53" x14ac:dyDescent="0.25">
      <c r="C15" s="1" t="str">
        <f>CHAR(mqLen!R4)</f>
        <v>\</v>
      </c>
      <c r="D15" s="1" t="s">
        <v>28</v>
      </c>
      <c r="E15" s="1" t="s">
        <v>12</v>
      </c>
      <c r="G15" s="1" t="str">
        <f>CHAR(KRnsl!Q3)</f>
        <v>.</v>
      </c>
      <c r="J15" s="1" t="str">
        <f>CHAR(JVHco!T6)</f>
        <v>B</v>
      </c>
    </row>
    <row r="16" spans="2:53" x14ac:dyDescent="0.25">
      <c r="F16" s="1">
        <f>CODE(coCGA!C26)</f>
        <v>47</v>
      </c>
      <c r="H16" s="1" t="str">
        <f>CHAR(coCGA!D4)</f>
        <v>F</v>
      </c>
      <c r="N16" s="1" t="str">
        <f>CHAR(mqLen!B10)</f>
        <v>D</v>
      </c>
      <c r="Y16" s="1">
        <f>CODE(Mment!L16)</f>
        <v>111</v>
      </c>
      <c r="Z16" s="1" t="str">
        <f>CHAR(KRnsl!D17)</f>
        <v>"</v>
      </c>
      <c r="BA16" s="1">
        <f>CODE(mqLen!Q24)</f>
        <v>88</v>
      </c>
    </row>
    <row r="17" spans="2:53" x14ac:dyDescent="0.25">
      <c r="D17" s="1">
        <f>CODE(mqLen!B22)</f>
        <v>34</v>
      </c>
      <c r="E17" s="1">
        <f>CODE(coCGA!V21)</f>
        <v>125</v>
      </c>
      <c r="G17" s="1">
        <f>CODE(mqLen!BA20)</f>
        <v>111</v>
      </c>
      <c r="I17" s="1" t="str">
        <f>CHAR(coCGA!W2)</f>
        <v>"</v>
      </c>
      <c r="L17" s="1" t="s">
        <v>19</v>
      </c>
      <c r="Q17" s="1" t="str">
        <f>CHAR(Mment!Y13)</f>
        <v>x</v>
      </c>
      <c r="U17" s="1" t="str">
        <f>CHAR(KRnsl!U12)</f>
        <v>a</v>
      </c>
    </row>
    <row r="18" spans="2:53" x14ac:dyDescent="0.25">
      <c r="F18" s="1">
        <f>CODE(Mment!F4)</f>
        <v>47</v>
      </c>
      <c r="K18" s="1">
        <f>CODE(JVHco!U17)</f>
        <v>111</v>
      </c>
      <c r="V18" s="1" t="s">
        <v>28</v>
      </c>
    </row>
    <row r="19" spans="2:53" x14ac:dyDescent="0.25">
      <c r="D19" s="1" t="str">
        <f>CHAR(JVHco!B24)</f>
        <v>l</v>
      </c>
      <c r="J19" s="1" t="str">
        <f>CHAR(mqLen!Y10)</f>
        <v>m</v>
      </c>
      <c r="L19" s="1" t="str">
        <f>CHAR(mqLen!C9)</f>
        <v>L</v>
      </c>
      <c r="M19" s="1" t="str">
        <f>CHAR(JVHco!Z25)</f>
        <v>t</v>
      </c>
      <c r="O19" s="1" t="s">
        <v>65</v>
      </c>
      <c r="V19" s="1">
        <f>CODE(JVHco!Z18)</f>
        <v>34</v>
      </c>
      <c r="X19" s="1" t="s">
        <v>66</v>
      </c>
      <c r="Z19" s="1" t="str">
        <f>CHAR(KRnsl!U10)</f>
        <v>C</v>
      </c>
    </row>
    <row r="20" spans="2:53" x14ac:dyDescent="0.25">
      <c r="E20" s="1">
        <f>CODE(mqLen!I26)</f>
        <v>73</v>
      </c>
      <c r="N20" s="1" t="s">
        <v>19</v>
      </c>
    </row>
    <row r="21" spans="2:53" x14ac:dyDescent="0.25">
      <c r="B21" s="1" t="s">
        <v>14</v>
      </c>
      <c r="I21" s="1" t="str">
        <f>CHAR(KRnsl!BA16)</f>
        <v>X</v>
      </c>
    </row>
    <row r="22" spans="2:53" x14ac:dyDescent="0.25">
      <c r="H22" s="1" t="str">
        <f>CHAR(coCGA!S1)</f>
        <v>t</v>
      </c>
      <c r="V22" s="1" t="s">
        <v>26</v>
      </c>
      <c r="X22" s="1" t="s">
        <v>3</v>
      </c>
    </row>
    <row r="24" spans="2:53" x14ac:dyDescent="0.25">
      <c r="F24" s="1">
        <f>CODE(KRnsl!Y9)</f>
        <v>48</v>
      </c>
      <c r="L24" s="1">
        <f>CODE(mqLen!Z16)</f>
        <v>67</v>
      </c>
      <c r="O24" s="1" t="s">
        <v>67</v>
      </c>
      <c r="P24" s="1" t="s">
        <v>11</v>
      </c>
      <c r="BA24" s="1" t="str">
        <f>CHAR(KRnsl!Q5)</f>
        <v>o</v>
      </c>
    </row>
    <row r="25" spans="2:53" x14ac:dyDescent="0.25">
      <c r="Q25" s="1" t="s">
        <v>5</v>
      </c>
      <c r="U25" s="1" t="s">
        <v>68</v>
      </c>
    </row>
    <row r="26" spans="2:53" x14ac:dyDescent="0.25">
      <c r="I26" s="1" t="str">
        <f>CHAR(coCGA!W16)</f>
        <v>{</v>
      </c>
      <c r="Q26" s="1" t="str">
        <f>CHAR(KRnsl!E20)</f>
        <v>I</v>
      </c>
    </row>
  </sheetData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Excel 4.0 巨集表</vt:lpstr>
      </vt:variant>
      <vt:variant>
        <vt:i4>1</vt:i4>
      </vt:variant>
    </vt:vector>
  </HeadingPairs>
  <TitlesOfParts>
    <vt:vector size="7" baseType="lpstr">
      <vt:lpstr>Sheet</vt:lpstr>
      <vt:lpstr>JVHco</vt:lpstr>
      <vt:lpstr>coCGA</vt:lpstr>
      <vt:lpstr>mqLen</vt:lpstr>
      <vt:lpstr>Mment</vt:lpstr>
      <vt:lpstr>KRnsl</vt:lpstr>
      <vt:lpstr>isFki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林宇翔</cp:lastModifiedBy>
  <dcterms:created xsi:type="dcterms:W3CDTF">2022-05-09T18:57:00Z</dcterms:created>
  <dcterms:modified xsi:type="dcterms:W3CDTF">2022-05-09T19:21:28Z</dcterms:modified>
</cp:coreProperties>
</file>